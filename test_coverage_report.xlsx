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overag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'Test Coverage'!$A$1:$M$1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FFF3C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EEE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164" fontId="6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164" fontId="6" fillId="1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36" customWidth="1" min="4" max="4"/>
    <col width="32" customWidth="1" min="5" max="5"/>
    <col width="46" customWidth="1" min="6" max="6"/>
    <col width="46" customWidth="1" min="7" max="7"/>
    <col width="11" customWidth="1" min="8" max="8"/>
    <col width="26" customWidth="1" min="9" max="9"/>
    <col width="11" customWidth="1" min="10" max="10"/>
    <col width="14" customWidth="1" min="11" max="11"/>
    <col width="15" customWidth="1" min="12" max="12"/>
    <col width="26" customWidth="1" min="13" max="13"/>
  </cols>
  <sheetData>
    <row r="1" ht="36" customHeight="1">
      <c r="A1" s="1" t="inlineStr">
        <is>
          <t>Test ID</t>
        </is>
      </c>
      <c r="B1" s="1" t="inlineStr">
        <is>
          <t>Test Folder</t>
        </is>
      </c>
      <c r="C1" s="1" t="inlineStr">
        <is>
          <t>Category</t>
        </is>
      </c>
      <c r="D1" s="1" t="inlineStr">
        <is>
          <t>Test Description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Automated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Tester</t>
        </is>
      </c>
      <c r="L1" s="1" t="inlineStr">
        <is>
          <t>Execution Date</t>
        </is>
      </c>
      <c r="M1" s="1" t="inlineStr">
        <is>
          <t>Notes / Defect ID</t>
        </is>
      </c>
    </row>
    <row r="2" ht="75" customHeight="1">
      <c r="A2" s="2" t="inlineStr">
        <is>
          <t>TC-01</t>
        </is>
      </c>
      <c r="B2" s="3" t="inlineStr">
        <is>
          <t>01_file_generation</t>
        </is>
      </c>
      <c r="C2" s="3" t="inlineStr">
        <is>
          <t>File Generation</t>
        </is>
      </c>
      <c r="D2" s="3" t="inlineStr">
        <is>
          <t>Generated file has correct line count, header format, and footer format</t>
        </is>
      </c>
      <c r="E2" s="3" t="inlineStr">
        <is>
          <t>Script is present and executable; test directory is writable</t>
        </is>
      </c>
      <c r="F2" s="3" t="inlineStr">
        <is>
          <t>1) Call generate_file 1000
2) Count total lines
3) Read line 1
4) Read last line and match regex FOOTERTEST[0-9]{8}</t>
        </is>
      </c>
      <c r="G2" s="3" t="inlineStr">
        <is>
          <t>1002 lines total; line 1 = '1-HEADER-RECORD|DATE=2026-01-30|SRC=UNITTEST'; last line matches FOOTERTEST[0-9]{8}</t>
        </is>
      </c>
      <c r="H2" s="4" t="inlineStr">
        <is>
          <t>Yes</t>
        </is>
      </c>
      <c r="I2" s="3" t="inlineStr"/>
      <c r="J2" s="5" t="inlineStr">
        <is>
          <t>Pending</t>
        </is>
      </c>
      <c r="K2" s="3" t="inlineStr"/>
      <c r="L2" s="3" t="inlineStr"/>
      <c r="M2" s="3" t="inlineStr"/>
    </row>
    <row r="3" ht="75" customHeight="1">
      <c r="A3" s="6" t="inlineStr">
        <is>
          <t>TC-02</t>
        </is>
      </c>
      <c r="B3" s="7" t="inlineStr">
        <is>
          <t>02_line_preview</t>
        </is>
      </c>
      <c r="C3" s="7" t="inlineStr">
        <is>
          <t>Line Preview</t>
        </is>
      </c>
      <c r="D3" s="7" t="inlineStr">
        <is>
          <t>Preview mode (-l --dry-run) shows the target line and surrounding context lines</t>
        </is>
      </c>
      <c r="E3" s="7" t="inlineStr">
        <is>
          <t>1000-line file exists</t>
        </is>
      </c>
      <c r="F3" s="7" t="inlineStr">
        <is>
          <t>1) Run: script -f &lt;file&gt; -l 500 --dry-run --yes
2) Inspect stdout for line-number markers</t>
        </is>
      </c>
      <c r="G3" s="7" t="inlineStr">
        <is>
          <t>Output contains '500 |', '499 |', and '501 |'</t>
        </is>
      </c>
      <c r="H3" s="8" t="inlineStr">
        <is>
          <t>Yes</t>
        </is>
      </c>
      <c r="I3" s="7" t="inlineStr"/>
      <c r="J3" s="5" t="inlineStr">
        <is>
          <t>Pending</t>
        </is>
      </c>
      <c r="K3" s="7" t="inlineStr"/>
      <c r="L3" s="7" t="inlineStr"/>
      <c r="M3" s="7" t="inlineStr"/>
    </row>
    <row r="4" ht="75" customHeight="1">
      <c r="A4" s="9" t="inlineStr">
        <is>
          <t>TC-03</t>
        </is>
      </c>
      <c r="B4" s="10" t="inlineStr">
        <is>
          <t>03_line_delete</t>
        </is>
      </c>
      <c r="C4" s="10" t="inlineStr">
        <is>
          <t>Line Delete</t>
        </is>
      </c>
      <c r="D4" s="10" t="inlineStr">
        <is>
          <t>Single-line delete removes exactly one line, decrements the footer counter, and removes the correct content</t>
        </is>
      </c>
      <c r="E4" s="10" t="inlineStr">
        <is>
          <t>1000-line file exists</t>
        </is>
      </c>
      <c r="F4" s="10" t="inlineStr">
        <is>
          <t>1) Record line count
2) Run: script -f &lt;file&gt; -l 500 --yes --no-color
3) Count lines again
4) Read footer
5) Grep for ITEM-0499</t>
        </is>
      </c>
      <c r="G4" s="10" t="inlineStr">
        <is>
          <t>Line count decreases by 1 (1002→1001); footer = FOOTERTEST00000999; ITEM-0499 not found</t>
        </is>
      </c>
      <c r="H4" s="11" t="inlineStr">
        <is>
          <t>Yes</t>
        </is>
      </c>
      <c r="I4" s="10" t="inlineStr"/>
      <c r="J4" s="5" t="inlineStr">
        <is>
          <t>Pending</t>
        </is>
      </c>
      <c r="K4" s="10" t="inlineStr"/>
      <c r="L4" s="10" t="inlineStr"/>
      <c r="M4" s="10" t="inlineStr"/>
    </row>
    <row r="5" ht="75" customHeight="1">
      <c r="A5" s="12" t="inlineStr">
        <is>
          <t>TC-04</t>
        </is>
      </c>
      <c r="B5" s="13" t="inlineStr">
        <is>
          <t>04_protection</t>
        </is>
      </c>
      <c r="C5" s="13" t="inlineStr">
        <is>
          <t>Header/Footer Protection</t>
        </is>
      </c>
      <c r="D5" s="13" t="inlineStr">
        <is>
          <t>Attempting to delete the header (line 1) or the footer (last line) leaves the file unchanged</t>
        </is>
      </c>
      <c r="E5" s="13" t="inlineStr">
        <is>
          <t>100-line file exists</t>
        </is>
      </c>
      <c r="F5" s="13" t="inlineStr">
        <is>
          <t>1) Attempt to delete line 1 --yes
2) Verify line count matches before
3) Attempt to delete last line --yes
4) Verify line count still matches before</t>
        </is>
      </c>
      <c r="G5" s="13" t="inlineStr">
        <is>
          <t>File line count is identical before and after both deletion attempts</t>
        </is>
      </c>
      <c r="H5" s="14" t="inlineStr">
        <is>
          <t>Yes</t>
        </is>
      </c>
      <c r="I5" s="13" t="inlineStr"/>
      <c r="J5" s="5" t="inlineStr">
        <is>
          <t>Pending</t>
        </is>
      </c>
      <c r="K5" s="13" t="inlineStr"/>
      <c r="L5" s="13" t="inlineStr"/>
      <c r="M5" s="13" t="inlineStr"/>
    </row>
    <row r="6" ht="75" customHeight="1">
      <c r="A6" s="2" t="inlineStr">
        <is>
          <t>TC-05</t>
        </is>
      </c>
      <c r="B6" s="3" t="inlineStr">
        <is>
          <t>05_keyword_search</t>
        </is>
      </c>
      <c r="C6" s="3" t="inlineStr">
        <is>
          <t>Keyword Search</t>
        </is>
      </c>
      <c r="D6" s="3" t="inlineStr">
        <is>
          <t>Keyword search (-w) in dry-run mode locates the correct line and shows a match preview</t>
        </is>
      </c>
      <c r="E6" s="3" t="inlineStr">
        <is>
          <t>1000-line file exists</t>
        </is>
      </c>
      <c r="F6" s="3" t="inlineStr">
        <is>
          <t>1) Run: script -f &lt;file&gt; -w ITEM-0420 --dry-run --yes --no-color
2) Check stdout</t>
        </is>
      </c>
      <c r="G6" s="3" t="inlineStr">
        <is>
          <t>Output contains 'ITEM-0420' and 'Matches'</t>
        </is>
      </c>
      <c r="H6" s="4" t="inlineStr">
        <is>
          <t>Yes</t>
        </is>
      </c>
      <c r="I6" s="3" t="inlineStr"/>
      <c r="J6" s="5" t="inlineStr">
        <is>
          <t>Pending</t>
        </is>
      </c>
      <c r="K6" s="3" t="inlineStr"/>
      <c r="L6" s="3" t="inlineStr"/>
      <c r="M6" s="3" t="inlineStr"/>
    </row>
    <row r="7" ht="75" customHeight="1">
      <c r="A7" s="6" t="inlineStr">
        <is>
          <t>TC-06</t>
        </is>
      </c>
      <c r="B7" s="7" t="inlineStr">
        <is>
          <t>06_keyword_delete</t>
        </is>
      </c>
      <c r="C7" s="7" t="inlineStr">
        <is>
          <t>Keyword Delete</t>
        </is>
      </c>
      <c r="D7" s="7" t="inlineStr">
        <is>
          <t>Keyword delete removes all matching lines and keeps the footer in a valid format</t>
        </is>
      </c>
      <c r="E7" s="7" t="inlineStr">
        <is>
          <t>1000-line file exists</t>
        </is>
      </c>
      <c r="F7" s="7" t="inlineStr">
        <is>
          <t>1) Record line count
2) Run: script -w 'CAT=A' --yes --no-color
3) Count lines; read footer</t>
        </is>
      </c>
      <c r="G7" s="7" t="inlineStr">
        <is>
          <t>Line count decreases; footer still matches FOOTERTEST[0-9]{8} with updated number</t>
        </is>
      </c>
      <c r="H7" s="8" t="inlineStr">
        <is>
          <t>Yes</t>
        </is>
      </c>
      <c r="I7" s="7" t="inlineStr"/>
      <c r="J7" s="5" t="inlineStr">
        <is>
          <t>Pending</t>
        </is>
      </c>
      <c r="K7" s="7" t="inlineStr"/>
      <c r="L7" s="7" t="inlineStr"/>
      <c r="M7" s="7" t="inlineStr"/>
    </row>
    <row r="8" ht="75" customHeight="1">
      <c r="A8" s="9" t="inlineStr">
        <is>
          <t>TC-07</t>
        </is>
      </c>
      <c r="B8" s="10" t="inlineStr">
        <is>
          <t>07_position_filter</t>
        </is>
      </c>
      <c r="C8" s="10" t="inlineStr">
        <is>
          <t>Position Filter</t>
        </is>
      </c>
      <c r="D8" s="10" t="inlineStr">
        <is>
          <t>Position filter (--pos) restricts keyword match results to the specified line range</t>
        </is>
      </c>
      <c r="E8" s="10" t="inlineStr">
        <is>
          <t>1000-line file exists</t>
        </is>
      </c>
      <c r="F8" s="10" t="inlineStr">
        <is>
          <t>1) Run: script -w ITEM --pos 10-20 -n 5 --dry-run --yes --no-color
2) Inspect output</t>
        </is>
      </c>
      <c r="G8" s="10" t="inlineStr">
        <is>
          <t>Output contains 'Matches' — hits are within lines 10–20 only</t>
        </is>
      </c>
      <c r="H8" s="11" t="inlineStr">
        <is>
          <t>Yes</t>
        </is>
      </c>
      <c r="I8" s="10" t="inlineStr"/>
      <c r="J8" s="5" t="inlineStr">
        <is>
          <t>Pending</t>
        </is>
      </c>
      <c r="K8" s="10" t="inlineStr"/>
      <c r="L8" s="10" t="inlineStr"/>
      <c r="M8" s="10" t="inlineStr"/>
    </row>
    <row r="9" ht="75" customHeight="1">
      <c r="A9" s="15" t="inlineStr">
        <is>
          <t>TC-08</t>
        </is>
      </c>
      <c r="B9" s="16" t="inlineStr">
        <is>
          <t>08_replace_preview</t>
        </is>
      </c>
      <c r="C9" s="16" t="inlineStr">
        <is>
          <t>Replace</t>
        </is>
      </c>
      <c r="D9" s="16" t="inlineStr">
        <is>
          <t>Replace in dry-run mode shows Original lines, Replaced lines, and the replacement text in the preview</t>
        </is>
      </c>
      <c r="E9" s="16" t="inlineStr">
        <is>
          <t>Test log file with ERROR/INFO/WARN lines exists</t>
        </is>
      </c>
      <c r="F9" s="16" t="inlineStr">
        <is>
          <t>1) Run: script -w ERROR --replace-pos 1-8 --replace-txt RESOLVED --dry-run --yes --no-color
2) Inspect stdout</t>
        </is>
      </c>
      <c r="G9" s="16" t="inlineStr">
        <is>
          <t>Output contains 'Original', 'Replaced', and 'RESOLVED'</t>
        </is>
      </c>
      <c r="H9" s="17" t="inlineStr">
        <is>
          <t>Yes</t>
        </is>
      </c>
      <c r="I9" s="16" t="inlineStr"/>
      <c r="J9" s="5" t="inlineStr">
        <is>
          <t>Pending</t>
        </is>
      </c>
      <c r="K9" s="16" t="inlineStr"/>
      <c r="L9" s="16" t="inlineStr"/>
      <c r="M9" s="16" t="inlineStr"/>
    </row>
    <row r="10" ht="75" customHeight="1">
      <c r="A10" s="15" t="inlineStr">
        <is>
          <t>TC-09</t>
        </is>
      </c>
      <c r="B10" s="16" t="inlineStr">
        <is>
          <t>09_replace_text</t>
        </is>
      </c>
      <c r="C10" s="16" t="inlineStr">
        <is>
          <t>Replace</t>
        </is>
      </c>
      <c r="D10" s="16" t="inlineStr">
        <is>
          <t>Replace operation keeps line count unchanged, writes replacement text, and removes original matched text</t>
        </is>
      </c>
      <c r="E10" s="16" t="inlineStr">
        <is>
          <t>Test log file exists</t>
        </is>
      </c>
      <c r="F10" s="16" t="inlineStr">
        <is>
          <t>1) Record line count
2) Run replace without --dry-run
3) Count lines; grep for RESOLVED; grep for ERROR001</t>
        </is>
      </c>
      <c r="G10" s="16" t="inlineStr">
        <is>
          <t>Line count unchanged; 'RESOLVED' present; 'ERROR001' absent</t>
        </is>
      </c>
      <c r="H10" s="17" t="inlineStr">
        <is>
          <t>Yes</t>
        </is>
      </c>
      <c r="I10" s="16" t="inlineStr"/>
      <c r="J10" s="5" t="inlineStr">
        <is>
          <t>Pending</t>
        </is>
      </c>
      <c r="K10" s="16" t="inlineStr"/>
      <c r="L10" s="16" t="inlineStr"/>
      <c r="M10" s="16" t="inlineStr"/>
    </row>
    <row r="11" ht="75" customHeight="1">
      <c r="A11" s="15" t="inlineStr">
        <is>
          <t>TC-10</t>
        </is>
      </c>
      <c r="B11" s="16" t="inlineStr">
        <is>
          <t>10_replace_with_pos</t>
        </is>
      </c>
      <c r="C11" s="16" t="inlineStr">
        <is>
          <t>Replace</t>
        </is>
      </c>
      <c r="D11" s="16" t="inlineStr">
        <is>
          <t>Replace combined with --pos filter applies the replacement only within the specified line range</t>
        </is>
      </c>
      <c r="E11" s="16" t="inlineStr">
        <is>
          <t>Test log file exists</t>
        </is>
      </c>
      <c r="F11" s="16" t="inlineStr">
        <is>
          <t>1) Run: script --pos 1-5 -w ERROR --replace-pos 1-8 --replace-txt FIXED___ --yes
2) Grep for FIXED___</t>
        </is>
      </c>
      <c r="G11" s="16" t="inlineStr">
        <is>
          <t>File contains 'FIXED___'</t>
        </is>
      </c>
      <c r="H11" s="17" t="inlineStr">
        <is>
          <t>Yes</t>
        </is>
      </c>
      <c r="I11" s="16" t="inlineStr"/>
      <c r="J11" s="5" t="inlineStr">
        <is>
          <t>Pending</t>
        </is>
      </c>
      <c r="K11" s="16" t="inlineStr"/>
      <c r="L11" s="16" t="inlineStr"/>
      <c r="M11" s="16" t="inlineStr"/>
    </row>
    <row r="12" ht="75" customHeight="1">
      <c r="A12" s="15" t="inlineStr">
        <is>
          <t>TC-11</t>
        </is>
      </c>
      <c r="B12" s="16" t="inlineStr">
        <is>
          <t>11_replace_tracking</t>
        </is>
      </c>
      <c r="C12" s="16" t="inlineStr">
        <is>
          <t>Replace</t>
        </is>
      </c>
      <c r="D12" s="16" t="inlineStr">
        <is>
          <t>A _modified_ tracking file is created after replace and contains the original matched lines</t>
        </is>
      </c>
      <c r="E12" s="16" t="inlineStr">
        <is>
          <t>Test log file exists; no prior _modified_ files</t>
        </is>
      </c>
      <c r="F12" s="16" t="inlineStr">
        <is>
          <t>1) Run replace command
2) ls for *_modified_* files
3) Grep 'ERROR001' inside _modified_ file</t>
        </is>
      </c>
      <c r="G12" s="16" t="inlineStr">
        <is>
          <t>_modified_ file exists; it contains 'ERROR001'</t>
        </is>
      </c>
      <c r="H12" s="17" t="inlineStr">
        <is>
          <t>Yes</t>
        </is>
      </c>
      <c r="I12" s="16" t="inlineStr"/>
      <c r="J12" s="5" t="inlineStr">
        <is>
          <t>Pending</t>
        </is>
      </c>
      <c r="K12" s="16" t="inlineStr"/>
      <c r="L12" s="16" t="inlineStr"/>
      <c r="M12" s="16" t="inlineStr"/>
    </row>
    <row r="13" ht="75" customHeight="1">
      <c r="A13" s="18" t="inlineStr">
        <is>
          <t>TC-12</t>
        </is>
      </c>
      <c r="B13" s="19" t="inlineStr">
        <is>
          <t>12_backup_creation</t>
        </is>
      </c>
      <c r="C13" s="19" t="inlineStr">
        <is>
          <t>Backup</t>
        </is>
      </c>
      <c r="D13" s="19" t="inlineStr">
        <is>
          <t>First delete operation creates a backup file containing the original unmodified content</t>
        </is>
      </c>
      <c r="E13" s="19" t="inlineStr">
        <is>
          <t>Clean 100-line file; no existing backup</t>
        </is>
      </c>
      <c r="F13" s="19" t="inlineStr">
        <is>
          <t>1) Delete line 50 --yes
2) Check for data.txt_backup
3) Count lines in backup</t>
        </is>
      </c>
      <c r="G13" s="19" t="inlineStr">
        <is>
          <t>data.txt_backup exists; backup has 102 lines</t>
        </is>
      </c>
      <c r="H13" s="20" t="inlineStr">
        <is>
          <t>Yes</t>
        </is>
      </c>
      <c r="I13" s="19" t="inlineStr"/>
      <c r="J13" s="5" t="inlineStr">
        <is>
          <t>Pending</t>
        </is>
      </c>
      <c r="K13" s="19" t="inlineStr"/>
      <c r="L13" s="19" t="inlineStr"/>
      <c r="M13" s="19" t="inlineStr"/>
    </row>
    <row r="14" ht="75" customHeight="1">
      <c r="A14" s="18" t="inlineStr">
        <is>
          <t>TC-13</t>
        </is>
      </c>
      <c r="B14" s="19" t="inlineStr">
        <is>
          <t>13_backup_reuse</t>
        </is>
      </c>
      <c r="C14" s="19" t="inlineStr">
        <is>
          <t>Backup</t>
        </is>
      </c>
      <c r="D14" s="19" t="inlineStr">
        <is>
          <t>A subsequent delete operation reuses the existing backup without overwriting it</t>
        </is>
      </c>
      <c r="E14" s="19" t="inlineStr">
        <is>
          <t>100-line file; backup already created by first delete</t>
        </is>
      </c>
      <c r="F14" s="19" t="inlineStr">
        <is>
          <t>1) Note backup mtime after first delete
2) Sleep 1 s
3) Delete another line
4) Compare backup mtime before and after</t>
        </is>
      </c>
      <c r="G14" s="19" t="inlineStr">
        <is>
          <t>Backup file modification timestamp is identical after both operations</t>
        </is>
      </c>
      <c r="H14" s="20" t="inlineStr">
        <is>
          <t>Yes</t>
        </is>
      </c>
      <c r="I14" s="19" t="inlineStr"/>
      <c r="J14" s="5" t="inlineStr">
        <is>
          <t>Pending</t>
        </is>
      </c>
      <c r="K14" s="19" t="inlineStr"/>
      <c r="L14" s="19" t="inlineStr"/>
      <c r="M14" s="19" t="inlineStr"/>
    </row>
    <row r="15" ht="75" customHeight="1">
      <c r="A15" s="21" t="inlineStr">
        <is>
          <t>TC-14</t>
        </is>
      </c>
      <c r="B15" s="22" t="inlineStr">
        <is>
          <t>14_rollback</t>
        </is>
      </c>
      <c r="C15" s="22" t="inlineStr">
        <is>
          <t>Rollback</t>
        </is>
      </c>
      <c r="D15" s="22" t="inlineStr">
        <is>
          <t>Rollback restores the file to its original line count</t>
        </is>
      </c>
      <c r="E15" s="22" t="inlineStr">
        <is>
          <t>100-line file; two delete operations applied; backup exists</t>
        </is>
      </c>
      <c r="F15" s="22" t="inlineStr">
        <is>
          <t>1) Record original line count
2) Delete lines 50 and 60
3) Run: script --rollback --yes
4) Count lines</t>
        </is>
      </c>
      <c r="G15" s="22" t="inlineStr">
        <is>
          <t>Restored line count equals original (102)</t>
        </is>
      </c>
      <c r="H15" s="23" t="inlineStr">
        <is>
          <t>Yes</t>
        </is>
      </c>
      <c r="I15" s="22" t="inlineStr"/>
      <c r="J15" s="5" t="inlineStr">
        <is>
          <t>Pending</t>
        </is>
      </c>
      <c r="K15" s="22" t="inlineStr"/>
      <c r="L15" s="22" t="inlineStr"/>
      <c r="M15" s="22" t="inlineStr"/>
    </row>
    <row r="16" ht="75" customHeight="1">
      <c r="A16" s="21" t="inlineStr">
        <is>
          <t>TC-15</t>
        </is>
      </c>
      <c r="B16" s="22" t="inlineStr">
        <is>
          <t>15_rollback_no_backup</t>
        </is>
      </c>
      <c r="C16" s="22" t="inlineStr">
        <is>
          <t>Rollback</t>
        </is>
      </c>
      <c r="D16" s="22" t="inlineStr">
        <is>
          <t>Running rollback when no backup exists produces a clear error message</t>
        </is>
      </c>
      <c r="E16" s="22" t="inlineStr">
        <is>
          <t>File exists; backup deliberately removed</t>
        </is>
      </c>
      <c r="F16" s="22" t="inlineStr">
        <is>
          <t>1) Delete backup file
2) Run: script --rollback --yes
3) Inspect stdout</t>
        </is>
      </c>
      <c r="G16" s="22" t="inlineStr">
        <is>
          <t>Output contains 'not found' or 'backup'</t>
        </is>
      </c>
      <c r="H16" s="23" t="inlineStr">
        <is>
          <t>Yes</t>
        </is>
      </c>
      <c r="I16" s="22" t="inlineStr"/>
      <c r="J16" s="5" t="inlineStr">
        <is>
          <t>Pending</t>
        </is>
      </c>
      <c r="K16" s="22" t="inlineStr"/>
      <c r="L16" s="22" t="inlineStr"/>
      <c r="M16" s="22" t="inlineStr"/>
    </row>
    <row r="17" ht="75" customHeight="1">
      <c r="A17" s="24" t="inlineStr">
        <is>
          <t>TC-16</t>
        </is>
      </c>
      <c r="B17" s="25" t="inlineStr">
        <is>
          <t>16_regex_matching</t>
        </is>
      </c>
      <c r="C17" s="25" t="inlineStr">
        <is>
          <t>Regex</t>
        </is>
      </c>
      <c r="D17" s="25" t="inlineStr">
        <is>
          <t>Regex mode (--regex) finds lines matching the pattern and shows a preview</t>
        </is>
      </c>
      <c r="E17" s="25" t="inlineStr">
        <is>
          <t>1000-line file exists</t>
        </is>
      </c>
      <c r="F17" s="25" t="inlineStr">
        <is>
          <t>1) Run: script -w 'ITEM-0[0-9]{3}' --regex --dry-run --yes --no-color
2) Check output</t>
        </is>
      </c>
      <c r="G17" s="25" t="inlineStr">
        <is>
          <t>Output contains 'ITEM-0' and 'Matches'</t>
        </is>
      </c>
      <c r="H17" s="26" t="inlineStr">
        <is>
          <t>Yes</t>
        </is>
      </c>
      <c r="I17" s="25" t="inlineStr"/>
      <c r="J17" s="5" t="inlineStr">
        <is>
          <t>Pending</t>
        </is>
      </c>
      <c r="K17" s="25" t="inlineStr"/>
      <c r="L17" s="25" t="inlineStr"/>
      <c r="M17" s="25" t="inlineStr"/>
    </row>
    <row r="18" ht="75" customHeight="1">
      <c r="A18" s="24" t="inlineStr">
        <is>
          <t>TC-17</t>
        </is>
      </c>
      <c r="B18" s="25" t="inlineStr">
        <is>
          <t>17_regex_vs_literal</t>
        </is>
      </c>
      <c r="C18" s="25" t="inlineStr">
        <is>
          <t>Regex</t>
        </is>
      </c>
      <c r="D18" s="25" t="inlineStr">
        <is>
          <t>Without --regex flag metacharacters are treated literally (no match); with --regex they match many lines</t>
        </is>
      </c>
      <c r="E18" s="25" t="inlineStr">
        <is>
          <t>1000-line file exists</t>
        </is>
      </c>
      <c r="F18" s="25" t="inlineStr">
        <is>
          <t>1) Run with literal '[0-9]' — no --regex flag
2) Run with '[0-9]' --regex
3) Compare outputs</t>
        </is>
      </c>
      <c r="G18" s="25" t="inlineStr">
        <is>
          <t>Literal: output contains 'No matches'; Regex: output contains 'Matches' or 'more'</t>
        </is>
      </c>
      <c r="H18" s="26" t="inlineStr">
        <is>
          <t>Yes</t>
        </is>
      </c>
      <c r="I18" s="25" t="inlineStr"/>
      <c r="J18" s="5" t="inlineStr">
        <is>
          <t>Pending</t>
        </is>
      </c>
      <c r="K18" s="25" t="inlineStr"/>
      <c r="L18" s="25" t="inlineStr"/>
      <c r="M18" s="25" t="inlineStr"/>
    </row>
    <row r="19" ht="75" customHeight="1">
      <c r="A19" s="24" t="inlineStr">
        <is>
          <t>TC-18</t>
        </is>
      </c>
      <c r="B19" s="25" t="inlineStr">
        <is>
          <t>18_regex_delete</t>
        </is>
      </c>
      <c r="C19" s="25" t="inlineStr">
        <is>
          <t>Regex</t>
        </is>
      </c>
      <c r="D19" s="25" t="inlineStr">
        <is>
          <t>Regex delete removes all lines matching the pattern and keeps the footer in valid format</t>
        </is>
      </c>
      <c r="E19" s="25" t="inlineStr">
        <is>
          <t>1000-line file exists</t>
        </is>
      </c>
      <c r="F19" s="25" t="inlineStr">
        <is>
          <t>1) Record line count
2) Run: script -w 'CAT=A' --regex --yes --no-color
3) Count lines; read footer</t>
        </is>
      </c>
      <c r="G19" s="25" t="inlineStr">
        <is>
          <t>Line count decreases; footer matches FOOTERTEST[0-9]{8}</t>
        </is>
      </c>
      <c r="H19" s="26" t="inlineStr">
        <is>
          <t>Yes</t>
        </is>
      </c>
      <c r="I19" s="25" t="inlineStr"/>
      <c r="J19" s="5" t="inlineStr">
        <is>
          <t>Pending</t>
        </is>
      </c>
      <c r="K19" s="25" t="inlineStr"/>
      <c r="L19" s="25" t="inlineStr"/>
      <c r="M19" s="25" t="inlineStr"/>
    </row>
    <row r="20" ht="75" customHeight="1">
      <c r="A20" s="24" t="inlineStr">
        <is>
          <t>TC-19</t>
        </is>
      </c>
      <c r="B20" s="25" t="inlineStr">
        <is>
          <t>19_regex_replace</t>
        </is>
      </c>
      <c r="C20" s="25" t="inlineStr">
        <is>
          <t>Regex</t>
        </is>
      </c>
      <c r="D20" s="25" t="inlineStr">
        <is>
          <t>Regex replace rewrites matched text and removes the original content</t>
        </is>
      </c>
      <c r="E20" s="25" t="inlineStr">
        <is>
          <t>Test log file exists</t>
        </is>
      </c>
      <c r="F20" s="25" t="inlineStr">
        <is>
          <t>1) Run: script -w 'ERROR[0-9]+' --regex --replace-pos 1-8 --replace-txt FIXED___ --yes
2) Grep for FIXED___; grep for ERROR001</t>
        </is>
      </c>
      <c r="G20" s="25" t="inlineStr">
        <is>
          <t>File contains 'FIXED___'; 'ERROR001' is absent</t>
        </is>
      </c>
      <c r="H20" s="26" t="inlineStr">
        <is>
          <t>Yes</t>
        </is>
      </c>
      <c r="I20" s="25" t="inlineStr"/>
      <c r="J20" s="5" t="inlineStr">
        <is>
          <t>Pending</t>
        </is>
      </c>
      <c r="K20" s="25" t="inlineStr"/>
      <c r="L20" s="25" t="inlineStr"/>
      <c r="M20" s="25" t="inlineStr"/>
    </row>
    <row r="21" ht="75" customHeight="1">
      <c r="A21" s="27" t="inlineStr">
        <is>
          <t>TC-20</t>
        </is>
      </c>
      <c r="B21" s="28" t="inlineStr">
        <is>
          <t>20_preview_limit</t>
        </is>
      </c>
      <c r="C21" s="28" t="inlineStr">
        <is>
          <t>Advanced</t>
        </is>
      </c>
      <c r="D21" s="28" t="inlineStr">
        <is>
          <t>When total matches exceed the -n preview limit an overflow indicator is displayed</t>
        </is>
      </c>
      <c r="E21" s="28" t="inlineStr">
        <is>
          <t>1000-line file exists</t>
        </is>
      </c>
      <c r="F21" s="28" t="inlineStr">
        <is>
          <t>1) Run: script -w CAT -n 3 --dry-run --yes --no-color
2) Inspect output</t>
        </is>
      </c>
      <c r="G21" s="28" t="inlineStr">
        <is>
          <t>Output contains a '+N more' style overflow indicator</t>
        </is>
      </c>
      <c r="H21" s="29" t="inlineStr">
        <is>
          <t>Yes</t>
        </is>
      </c>
      <c r="I21" s="28" t="inlineStr"/>
      <c r="J21" s="5" t="inlineStr">
        <is>
          <t>Pending</t>
        </is>
      </c>
      <c r="K21" s="28" t="inlineStr"/>
      <c r="L21" s="28" t="inlineStr"/>
      <c r="M21" s="28" t="inlineStr"/>
    </row>
    <row r="22" ht="75" customHeight="1">
      <c r="A22" s="27" t="inlineStr">
        <is>
          <t>TC-21</t>
        </is>
      </c>
      <c r="B22" s="28" t="inlineStr">
        <is>
          <t>21_dry_run</t>
        </is>
      </c>
      <c r="C22" s="28" t="inlineStr">
        <is>
          <t>Advanced</t>
        </is>
      </c>
      <c r="D22" s="28" t="inlineStr">
        <is>
          <t>Dry-run mode makes no changes — file content and line count are preserved</t>
        </is>
      </c>
      <c r="E22" s="28" t="inlineStr">
        <is>
          <t>100-line file exists</t>
        </is>
      </c>
      <c r="F22" s="28" t="inlineStr">
        <is>
          <t>1) Capture file content
2) Record line count
3) Run: script -l 50 --dry-run --yes --no-color
4) Compare content and count</t>
        </is>
      </c>
      <c r="G22" s="28" t="inlineStr">
        <is>
          <t>File content and line count are byte-for-byte identical before and after</t>
        </is>
      </c>
      <c r="H22" s="29" t="inlineStr">
        <is>
          <t>Yes</t>
        </is>
      </c>
      <c r="I22" s="28" t="inlineStr"/>
      <c r="J22" s="5" t="inlineStr">
        <is>
          <t>Pending</t>
        </is>
      </c>
      <c r="K22" s="28" t="inlineStr"/>
      <c r="L22" s="28" t="inlineStr"/>
      <c r="M22" s="28" t="inlineStr"/>
    </row>
    <row r="23" ht="75" customHeight="1">
      <c r="A23" s="27" t="inlineStr">
        <is>
          <t>TC-22</t>
        </is>
      </c>
      <c r="B23" s="28" t="inlineStr">
        <is>
          <t>22_modified_tracking</t>
        </is>
      </c>
      <c r="C23" s="28" t="inlineStr">
        <is>
          <t>Advanced</t>
        </is>
      </c>
      <c r="D23" s="28" t="inlineStr">
        <is>
          <t>A _modified_ tracking file recording exactly 1 deleted line is created after a single line delete</t>
        </is>
      </c>
      <c r="E23" s="28" t="inlineStr">
        <is>
          <t>100-line file; no prior _modified_ files</t>
        </is>
      </c>
      <c r="F23" s="28" t="inlineStr">
        <is>
          <t>1) Delete line 50 --yes
2) ls for *_modified_* files
3) Count lines in the modified file</t>
        </is>
      </c>
      <c r="G23" s="28" t="inlineStr">
        <is>
          <t>_modified_ file exists; it contains exactly 1 line</t>
        </is>
      </c>
      <c r="H23" s="29" t="inlineStr">
        <is>
          <t>Yes</t>
        </is>
      </c>
      <c r="I23" s="28" t="inlineStr"/>
      <c r="J23" s="5" t="inlineStr">
        <is>
          <t>Pending</t>
        </is>
      </c>
      <c r="K23" s="28" t="inlineStr"/>
      <c r="L23" s="28" t="inlineStr"/>
      <c r="M23" s="28" t="inlineStr"/>
    </row>
    <row r="24" ht="75" customHeight="1">
      <c r="A24" s="27" t="inlineStr">
        <is>
          <t>TC-23</t>
        </is>
      </c>
      <c r="B24" s="28" t="inlineStr">
        <is>
          <t>23_edge_cases</t>
        </is>
      </c>
      <c r="C24" s="28" t="inlineStr">
        <is>
          <t>Advanced</t>
        </is>
      </c>
      <c r="D24" s="28" t="inlineStr">
        <is>
          <t>Out-of-range line number and non-existent file path are both rejected with descriptive errors</t>
        </is>
      </c>
      <c r="E24" s="28" t="inlineStr">
        <is>
          <t>100-line file exists; /nonexistent.txt does not exist</t>
        </is>
      </c>
      <c r="F24" s="28" t="inlineStr">
        <is>
          <t>1) Run: script -l 99999 --yes — inspect output
2) Run: script -f /nonexistent.txt -l 1 --yes — inspect output</t>
        </is>
      </c>
      <c r="G24" s="28" t="inlineStr">
        <is>
          <t>First run: 'out of range' or 'invalid'; Second run: 'not found' or 'no such'</t>
        </is>
      </c>
      <c r="H24" s="29" t="inlineStr">
        <is>
          <t>Yes</t>
        </is>
      </c>
      <c r="I24" s="28" t="inlineStr"/>
      <c r="J24" s="5" t="inlineStr">
        <is>
          <t>Pending</t>
        </is>
      </c>
      <c r="K24" s="28" t="inlineStr"/>
      <c r="L24" s="28" t="inlineStr"/>
      <c r="M24" s="28" t="inlineStr"/>
    </row>
    <row r="25" ht="75" customHeight="1">
      <c r="A25" s="27" t="inlineStr">
        <is>
          <t>TC-24</t>
        </is>
      </c>
      <c r="B25" s="28" t="inlineStr">
        <is>
          <t>24_bulk_operations</t>
        </is>
      </c>
      <c r="C25" s="28" t="inlineStr">
        <is>
          <t>Advanced</t>
        </is>
      </c>
      <c r="D25" s="28" t="inlineStr">
        <is>
          <t>Three sequential single-line deletes each individually reduce the line count</t>
        </is>
      </c>
      <c r="E25" s="28" t="inlineStr">
        <is>
          <t>200-line file exists</t>
        </is>
      </c>
      <c r="F25" s="28" t="inlineStr">
        <is>
          <t>1) Delete line 100; record after1
2) Delete line 99; record after2
3) Delete line 98; record after3
4) Compare counts</t>
        </is>
      </c>
      <c r="G25" s="28" t="inlineStr">
        <is>
          <t>after3 &lt; after2 &lt; after1 &lt; before (each delete reduces count by 1)</t>
        </is>
      </c>
      <c r="H25" s="29" t="inlineStr">
        <is>
          <t>Yes</t>
        </is>
      </c>
      <c r="I25" s="28" t="inlineStr"/>
      <c r="J25" s="5" t="inlineStr">
        <is>
          <t>Pending</t>
        </is>
      </c>
      <c r="K25" s="28" t="inlineStr"/>
      <c r="L25" s="28" t="inlineStr"/>
      <c r="M25" s="28" t="inlineStr"/>
    </row>
    <row r="26" ht="75" customHeight="1">
      <c r="A26" s="27" t="inlineStr">
        <is>
          <t>TC-25</t>
        </is>
      </c>
      <c r="B26" s="28" t="inlineStr">
        <is>
          <t>25_footer_integrity</t>
        </is>
      </c>
      <c r="C26" s="28" t="inlineStr">
        <is>
          <t>Advanced</t>
        </is>
      </c>
      <c r="D26" s="28" t="inlineStr">
        <is>
          <t>Footer counter is numerically accurate after multiple non-consecutive delete operations</t>
        </is>
      </c>
      <c r="E26" s="28" t="inlineStr">
        <is>
          <t>200-line file exists</t>
        </is>
      </c>
      <c r="F26" s="28" t="inlineStr">
        <is>
          <t>1) Delete lines 50, 100, 150 in sequence
2) Read the numeric portion of the footer</t>
        </is>
      </c>
      <c r="G26" s="28" t="inlineStr">
        <is>
          <t>Footer number equals 197 (200 original data lines minus 3 deletes)</t>
        </is>
      </c>
      <c r="H26" s="29" t="inlineStr">
        <is>
          <t>Yes</t>
        </is>
      </c>
      <c r="I26" s="28" t="inlineStr"/>
      <c r="J26" s="5" t="inlineStr">
        <is>
          <t>Pending</t>
        </is>
      </c>
      <c r="K26" s="28" t="inlineStr"/>
      <c r="L26" s="28" t="inlineStr"/>
      <c r="M26" s="28" t="inlineStr"/>
    </row>
    <row r="27" ht="75" customHeight="1">
      <c r="A27" s="27" t="inlineStr">
        <is>
          <t>TC-26</t>
        </is>
      </c>
      <c r="B27" s="28" t="inlineStr">
        <is>
          <t>26_color_output</t>
        </is>
      </c>
      <c r="C27" s="28" t="inlineStr">
        <is>
          <t>Advanced</t>
        </is>
      </c>
      <c r="D27" s="28" t="inlineStr">
        <is>
          <t>Default output includes ANSI colour codes; --no-color flag removes all escape sequences</t>
        </is>
      </c>
      <c r="E27" s="28" t="inlineStr">
        <is>
          <t>100-line file exists</t>
        </is>
      </c>
      <c r="F27" s="28" t="inlineStr">
        <is>
          <t>1) Run without --no-color; check stdout for ESC (\033) character
2) Run with --no-color; check absence of ESC</t>
        </is>
      </c>
      <c r="G27" s="28" t="inlineStr">
        <is>
          <t>Run 1 contains \033 ANSI sequences; Run 2 contains none</t>
        </is>
      </c>
      <c r="H27" s="29" t="inlineStr">
        <is>
          <t>Yes</t>
        </is>
      </c>
      <c r="I27" s="28" t="inlineStr"/>
      <c r="J27" s="5" t="inlineStr">
        <is>
          <t>Pending</t>
        </is>
      </c>
      <c r="K27" s="28" t="inlineStr"/>
      <c r="L27" s="28" t="inlineStr"/>
      <c r="M27" s="28" t="inlineStr"/>
    </row>
    <row r="28" ht="75" customHeight="1">
      <c r="A28" s="2" t="inlineStr">
        <is>
          <t>TC-27</t>
        </is>
      </c>
      <c r="B28" s="3" t="inlineStr">
        <is>
          <t>27_complex_workflow</t>
        </is>
      </c>
      <c r="C28" s="3" t="inlineStr">
        <is>
          <t>Complex Workflow</t>
        </is>
      </c>
      <c r="D28" s="3" t="inlineStr">
        <is>
          <t>Full end-to-end workflow: delete by keyword → replace text → verify intermediate state → rollback → verify exact restore</t>
        </is>
      </c>
      <c r="E28" s="3" t="inlineStr">
        <is>
          <t>Test log file exists; no prior backup or _modified_ files</t>
        </is>
      </c>
      <c r="F28" s="3" t="inlineStr">
        <is>
          <t>1) Delete all INFO lines
2) Replace ERROR→RESOLVED
3) Assert: INFO absent, RESOLVED present, backup+_modified_ exist
4) Run --rollback --yes
5) Assert output contains 'Restored from backup'
6) Assert restored file is byte-for-byte identical to original</t>
        </is>
      </c>
      <c r="G28" s="3" t="inlineStr">
        <is>
          <t>All step 3 assertions pass; rollback output contains 'Restored from backup'; restored content exactly matches original</t>
        </is>
      </c>
      <c r="H28" s="4" t="inlineStr">
        <is>
          <t>Yes</t>
        </is>
      </c>
      <c r="I28" s="3" t="inlineStr"/>
      <c r="J28" s="5" t="inlineStr">
        <is>
          <t>Pending</t>
        </is>
      </c>
      <c r="K28" s="3" t="inlineStr"/>
      <c r="L28" s="3" t="inlineStr"/>
      <c r="M28" s="3" t="inlineStr"/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8" customHeight="1">
      <c r="A1" s="30" t="inlineStr">
        <is>
          <t>Test Coverage Report — Line Delete Script</t>
        </is>
      </c>
    </row>
    <row r="3">
      <c r="A3" s="31" t="inlineStr">
        <is>
          <t>Project</t>
        </is>
      </c>
      <c r="B3" s="32" t="inlineStr">
        <is>
          <t>Line Delete Script</t>
        </is>
      </c>
    </row>
    <row r="4">
      <c r="A4" s="31" t="inlineStr">
        <is>
          <t>Version</t>
        </is>
      </c>
      <c r="B4" s="32" t="inlineStr">
        <is>
          <t>v1.0</t>
        </is>
      </c>
    </row>
    <row r="5">
      <c r="A5" s="31" t="inlineStr">
        <is>
          <t>Date</t>
        </is>
      </c>
      <c r="B5" s="32" t="inlineStr"/>
    </row>
    <row r="6">
      <c r="A6" s="31" t="inlineStr">
        <is>
          <t>Prepared by</t>
        </is>
      </c>
      <c r="B6" s="32" t="inlineStr"/>
    </row>
    <row r="7">
      <c r="A7" s="31" t="inlineStr">
        <is>
          <t>Total TCs</t>
        </is>
      </c>
      <c r="B7" s="32">
        <f>COUNTA('Test Coverage'!A2:A9999)</f>
        <v/>
      </c>
    </row>
    <row r="10">
      <c r="A10" s="31" t="inlineStr">
        <is>
          <t>Status</t>
        </is>
      </c>
      <c r="B10" s="31" t="inlineStr">
        <is>
          <t>Count</t>
        </is>
      </c>
      <c r="C10" s="31" t="inlineStr">
        <is>
          <t>% of Total</t>
        </is>
      </c>
    </row>
    <row r="11">
      <c r="A11" s="33" t="inlineStr">
        <is>
          <t>Pass</t>
        </is>
      </c>
      <c r="B11" s="33">
        <f>COUNTIF('Test Coverage'!J:J,"Pass")</f>
        <v/>
      </c>
      <c r="C11" s="34">
        <f>IF(COUNTA('Test Coverage'!A2:A9999)=0,0,B11/COUNTA('Test Coverage'!A2:A9999))</f>
        <v/>
      </c>
    </row>
    <row r="12">
      <c r="A12" s="35" t="inlineStr">
        <is>
          <t>Fail</t>
        </is>
      </c>
      <c r="B12" s="35">
        <f>COUNTIF('Test Coverage'!J:J,"Fail")</f>
        <v/>
      </c>
      <c r="C12" s="36">
        <f>IF(COUNTA('Test Coverage'!A2:A9999)=0,0,B12/COUNTA('Test Coverage'!A2:A9999))</f>
        <v/>
      </c>
    </row>
    <row r="13">
      <c r="A13" s="37" t="inlineStr">
        <is>
          <t>Pending</t>
        </is>
      </c>
      <c r="B13" s="37">
        <f>COUNTIF('Test Coverage'!J:J,"Pending")</f>
        <v/>
      </c>
      <c r="C13" s="38">
        <f>IF(COUNTA('Test Coverage'!A2:A9999)=0,0,B13/COUNTA('Test Coverage'!A2:A9999))</f>
        <v/>
      </c>
    </row>
    <row r="14">
      <c r="A14" s="39" t="inlineStr">
        <is>
          <t>N/A</t>
        </is>
      </c>
      <c r="B14" s="39">
        <f>COUNTIF('Test Coverage'!J:J,"N/A")</f>
        <v/>
      </c>
      <c r="C14" s="40">
        <f>IF(COUNTA('Test Coverage'!A2:A9999)=0,0,B14/COUNTA('Test Coverage'!A2:A9999))</f>
        <v/>
      </c>
    </row>
    <row r="17">
      <c r="A17" s="31" t="inlineStr">
        <is>
          <t>Category</t>
        </is>
      </c>
      <c r="B17" s="31" t="inlineStr">
        <is>
          <t>Total</t>
        </is>
      </c>
      <c r="C17" s="31" t="inlineStr">
        <is>
          <t>Pass</t>
        </is>
      </c>
      <c r="D17" s="31" t="inlineStr">
        <is>
          <t>Fail</t>
        </is>
      </c>
      <c r="E17" s="31" t="inlineStr">
        <is>
          <t>Pending</t>
        </is>
      </c>
    </row>
    <row r="18">
      <c r="A18" s="32" t="inlineStr">
        <is>
          <t>File Generation</t>
        </is>
      </c>
      <c r="B18" s="41">
        <f>COUNTIF('Test Coverage'!C:C,"File Generation")</f>
        <v/>
      </c>
      <c r="C18" s="33">
        <f>COUNTIFS('Test Coverage'!C:C,"File Generation",'Test Coverage'!J:J,"Pass")</f>
        <v/>
      </c>
      <c r="D18" s="35">
        <f>COUNTIFS('Test Coverage'!C:C,"File Generation",'Test Coverage'!J:J,"Fail")</f>
        <v/>
      </c>
      <c r="E18" s="37">
        <f>COUNTIFS('Test Coverage'!C:C,"File Generation",'Test Coverage'!J:J,"Pending")</f>
        <v/>
      </c>
    </row>
    <row r="19">
      <c r="A19" s="42" t="inlineStr">
        <is>
          <t>Line Preview</t>
        </is>
      </c>
      <c r="B19" s="43">
        <f>COUNTIF('Test Coverage'!C:C,"Line Preview")</f>
        <v/>
      </c>
      <c r="C19" s="33">
        <f>COUNTIFS('Test Coverage'!C:C,"Line Preview",'Test Coverage'!J:J,"Pass")</f>
        <v/>
      </c>
      <c r="D19" s="35">
        <f>COUNTIFS('Test Coverage'!C:C,"Line Preview",'Test Coverage'!J:J,"Fail")</f>
        <v/>
      </c>
      <c r="E19" s="37">
        <f>COUNTIFS('Test Coverage'!C:C,"Line Preview",'Test Coverage'!J:J,"Pending")</f>
        <v/>
      </c>
    </row>
    <row r="20">
      <c r="A20" s="44" t="inlineStr">
        <is>
          <t>Line Delete</t>
        </is>
      </c>
      <c r="B20" s="45">
        <f>COUNTIF('Test Coverage'!C:C,"Line Delete")</f>
        <v/>
      </c>
      <c r="C20" s="33">
        <f>COUNTIFS('Test Coverage'!C:C,"Line Delete",'Test Coverage'!J:J,"Pass")</f>
        <v/>
      </c>
      <c r="D20" s="35">
        <f>COUNTIFS('Test Coverage'!C:C,"Line Delete",'Test Coverage'!J:J,"Fail")</f>
        <v/>
      </c>
      <c r="E20" s="37">
        <f>COUNTIFS('Test Coverage'!C:C,"Line Delete",'Test Coverage'!J:J,"Pending")</f>
        <v/>
      </c>
    </row>
    <row r="21">
      <c r="A21" s="46" t="inlineStr">
        <is>
          <t>Header/Footer Protection</t>
        </is>
      </c>
      <c r="B21" s="47">
        <f>COUNTIF('Test Coverage'!C:C,"Header/Footer Protection")</f>
        <v/>
      </c>
      <c r="C21" s="33">
        <f>COUNTIFS('Test Coverage'!C:C,"Header/Footer Protection",'Test Coverage'!J:J,"Pass")</f>
        <v/>
      </c>
      <c r="D21" s="35">
        <f>COUNTIFS('Test Coverage'!C:C,"Header/Footer Protection",'Test Coverage'!J:J,"Fail")</f>
        <v/>
      </c>
      <c r="E21" s="37">
        <f>COUNTIFS('Test Coverage'!C:C,"Header/Footer Protection",'Test Coverage'!J:J,"Pending")</f>
        <v/>
      </c>
    </row>
    <row r="22">
      <c r="A22" s="32" t="inlineStr">
        <is>
          <t>Keyword Search</t>
        </is>
      </c>
      <c r="B22" s="41">
        <f>COUNTIF('Test Coverage'!C:C,"Keyword Search")</f>
        <v/>
      </c>
      <c r="C22" s="33">
        <f>COUNTIFS('Test Coverage'!C:C,"Keyword Search",'Test Coverage'!J:J,"Pass")</f>
        <v/>
      </c>
      <c r="D22" s="35">
        <f>COUNTIFS('Test Coverage'!C:C,"Keyword Search",'Test Coverage'!J:J,"Fail")</f>
        <v/>
      </c>
      <c r="E22" s="37">
        <f>COUNTIFS('Test Coverage'!C:C,"Keyword Search",'Test Coverage'!J:J,"Pending")</f>
        <v/>
      </c>
    </row>
    <row r="23">
      <c r="A23" s="42" t="inlineStr">
        <is>
          <t>Keyword Delete</t>
        </is>
      </c>
      <c r="B23" s="43">
        <f>COUNTIF('Test Coverage'!C:C,"Keyword Delete")</f>
        <v/>
      </c>
      <c r="C23" s="33">
        <f>COUNTIFS('Test Coverage'!C:C,"Keyword Delete",'Test Coverage'!J:J,"Pass")</f>
        <v/>
      </c>
      <c r="D23" s="35">
        <f>COUNTIFS('Test Coverage'!C:C,"Keyword Delete",'Test Coverage'!J:J,"Fail")</f>
        <v/>
      </c>
      <c r="E23" s="37">
        <f>COUNTIFS('Test Coverage'!C:C,"Keyword Delete",'Test Coverage'!J:J,"Pending")</f>
        <v/>
      </c>
    </row>
    <row r="24">
      <c r="A24" s="44" t="inlineStr">
        <is>
          <t>Position Filter</t>
        </is>
      </c>
      <c r="B24" s="45">
        <f>COUNTIF('Test Coverage'!C:C,"Position Filter")</f>
        <v/>
      </c>
      <c r="C24" s="33">
        <f>COUNTIFS('Test Coverage'!C:C,"Position Filter",'Test Coverage'!J:J,"Pass")</f>
        <v/>
      </c>
      <c r="D24" s="35">
        <f>COUNTIFS('Test Coverage'!C:C,"Position Filter",'Test Coverage'!J:J,"Fail")</f>
        <v/>
      </c>
      <c r="E24" s="37">
        <f>COUNTIFS('Test Coverage'!C:C,"Position Filter",'Test Coverage'!J:J,"Pending")</f>
        <v/>
      </c>
    </row>
    <row r="25">
      <c r="A25" s="48" t="inlineStr">
        <is>
          <t>Replace</t>
        </is>
      </c>
      <c r="B25" s="49">
        <f>COUNTIF('Test Coverage'!C:C,"Replace")</f>
        <v/>
      </c>
      <c r="C25" s="33">
        <f>COUNTIFS('Test Coverage'!C:C,"Replace",'Test Coverage'!J:J,"Pass")</f>
        <v/>
      </c>
      <c r="D25" s="35">
        <f>COUNTIFS('Test Coverage'!C:C,"Replace",'Test Coverage'!J:J,"Fail")</f>
        <v/>
      </c>
      <c r="E25" s="37">
        <f>COUNTIFS('Test Coverage'!C:C,"Replace",'Test Coverage'!J:J,"Pending")</f>
        <v/>
      </c>
    </row>
    <row r="26">
      <c r="A26" s="50" t="inlineStr">
        <is>
          <t>Backup</t>
        </is>
      </c>
      <c r="B26" s="51">
        <f>COUNTIF('Test Coverage'!C:C,"Backup")</f>
        <v/>
      </c>
      <c r="C26" s="33">
        <f>COUNTIFS('Test Coverage'!C:C,"Backup",'Test Coverage'!J:J,"Pass")</f>
        <v/>
      </c>
      <c r="D26" s="35">
        <f>COUNTIFS('Test Coverage'!C:C,"Backup",'Test Coverage'!J:J,"Fail")</f>
        <v/>
      </c>
      <c r="E26" s="37">
        <f>COUNTIFS('Test Coverage'!C:C,"Backup",'Test Coverage'!J:J,"Pending")</f>
        <v/>
      </c>
    </row>
    <row r="27">
      <c r="A27" s="52" t="inlineStr">
        <is>
          <t>Rollback</t>
        </is>
      </c>
      <c r="B27" s="53">
        <f>COUNTIF('Test Coverage'!C:C,"Rollback")</f>
        <v/>
      </c>
      <c r="C27" s="33">
        <f>COUNTIFS('Test Coverage'!C:C,"Rollback",'Test Coverage'!J:J,"Pass")</f>
        <v/>
      </c>
      <c r="D27" s="35">
        <f>COUNTIFS('Test Coverage'!C:C,"Rollback",'Test Coverage'!J:J,"Fail")</f>
        <v/>
      </c>
      <c r="E27" s="37">
        <f>COUNTIFS('Test Coverage'!C:C,"Rollback",'Test Coverage'!J:J,"Pending")</f>
        <v/>
      </c>
    </row>
    <row r="28">
      <c r="A28" s="54" t="inlineStr">
        <is>
          <t>Regex</t>
        </is>
      </c>
      <c r="B28" s="55">
        <f>COUNTIF('Test Coverage'!C:C,"Regex")</f>
        <v/>
      </c>
      <c r="C28" s="33">
        <f>COUNTIFS('Test Coverage'!C:C,"Regex",'Test Coverage'!J:J,"Pass")</f>
        <v/>
      </c>
      <c r="D28" s="35">
        <f>COUNTIFS('Test Coverage'!C:C,"Regex",'Test Coverage'!J:J,"Fail")</f>
        <v/>
      </c>
      <c r="E28" s="37">
        <f>COUNTIFS('Test Coverage'!C:C,"Regex",'Test Coverage'!J:J,"Pending")</f>
        <v/>
      </c>
    </row>
    <row r="29">
      <c r="A29" s="56" t="inlineStr">
        <is>
          <t>Advanced</t>
        </is>
      </c>
      <c r="B29" s="57">
        <f>COUNTIF('Test Coverage'!C:C,"Advanced")</f>
        <v/>
      </c>
      <c r="C29" s="33">
        <f>COUNTIFS('Test Coverage'!C:C,"Advanced",'Test Coverage'!J:J,"Pass")</f>
        <v/>
      </c>
      <c r="D29" s="35">
        <f>COUNTIFS('Test Coverage'!C:C,"Advanced",'Test Coverage'!J:J,"Fail")</f>
        <v/>
      </c>
      <c r="E29" s="37">
        <f>COUNTIFS('Test Coverage'!C:C,"Advanced",'Test Coverage'!J:J,"Pending")</f>
        <v/>
      </c>
    </row>
    <row r="30">
      <c r="A30" s="32" t="inlineStr">
        <is>
          <t>Complex Workflow</t>
        </is>
      </c>
      <c r="B30" s="41">
        <f>COUNTIF('Test Coverage'!C:C,"Complex Workflow")</f>
        <v/>
      </c>
      <c r="C30" s="33">
        <f>COUNTIFS('Test Coverage'!C:C,"Complex Workflow",'Test Coverage'!J:J,"Pass")</f>
        <v/>
      </c>
      <c r="D30" s="35">
        <f>COUNTIFS('Test Coverage'!C:C,"Complex Workflow",'Test Coverage'!J:J,"Fail")</f>
        <v/>
      </c>
      <c r="E30" s="37">
        <f>COUNTIFS('Test Coverage'!C:C,"Complex Workflow",'Test Coverage'!J:J,"Pending")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24" customWidth="1" min="3" max="3"/>
  </cols>
  <sheetData>
    <row r="1" ht="32" customHeight="1">
      <c r="A1" s="58" t="inlineStr">
        <is>
          <t>Legend &amp; Field Guide</t>
        </is>
      </c>
    </row>
    <row r="2" ht="22" customHeight="1">
      <c r="A2" s="59" t="inlineStr">
        <is>
          <t>Field</t>
        </is>
      </c>
      <c r="B2" s="59" t="inlineStr">
        <is>
          <t>Description</t>
        </is>
      </c>
      <c r="C2" s="59" t="inlineStr">
        <is>
          <t>Notes</t>
        </is>
      </c>
    </row>
    <row r="3" ht="22" customHeight="1">
      <c r="A3" s="60" t="inlineStr">
        <is>
          <t>Test ID</t>
        </is>
      </c>
      <c r="B3" s="60" t="inlineStr">
        <is>
          <t>Unique identifier — aligns with test function number</t>
        </is>
      </c>
      <c r="C3" s="60" t="inlineStr">
        <is>
          <t>e.g. TC-01</t>
        </is>
      </c>
    </row>
    <row r="4" ht="22" customHeight="1">
      <c r="A4" s="60" t="inlineStr">
        <is>
          <t>Test Folder</t>
        </is>
      </c>
      <c r="B4" s="60" t="inlineStr">
        <is>
          <t>Subfolder created under test_suite/ for this case</t>
        </is>
      </c>
      <c r="C4" s="60" t="inlineStr">
        <is>
          <t>e.g. 01_file_generation</t>
        </is>
      </c>
    </row>
    <row r="5" ht="22" customHeight="1">
      <c r="A5" s="60" t="inlineStr">
        <is>
          <t>Category</t>
        </is>
      </c>
      <c r="B5" s="60" t="inlineStr">
        <is>
          <t>Logical grouping of related tests</t>
        </is>
      </c>
      <c r="C5" s="60" t="inlineStr"/>
    </row>
    <row r="6" ht="22" customHeight="1">
      <c r="A6" s="60" t="inlineStr">
        <is>
          <t>Test Description</t>
        </is>
      </c>
      <c r="B6" s="60" t="inlineStr">
        <is>
          <t>One sentence summarising what is verified</t>
        </is>
      </c>
      <c r="C6" s="60" t="inlineStr"/>
    </row>
    <row r="7" ht="22" customHeight="1">
      <c r="A7" s="60" t="inlineStr">
        <is>
          <t>Precondition</t>
        </is>
      </c>
      <c r="B7" s="60" t="inlineStr">
        <is>
          <t>State required before the test can run</t>
        </is>
      </c>
      <c r="C7" s="60" t="inlineStr"/>
    </row>
    <row r="8" ht="22" customHeight="1">
      <c r="A8" s="60" t="inlineStr">
        <is>
          <t>Test Steps</t>
        </is>
      </c>
      <c r="B8" s="60" t="inlineStr">
        <is>
          <t>High-level execution steps</t>
        </is>
      </c>
      <c r="C8" s="60" t="inlineStr"/>
    </row>
    <row r="9" ht="22" customHeight="1">
      <c r="A9" s="60" t="inlineStr">
        <is>
          <t>Expected Result</t>
        </is>
      </c>
      <c r="B9" s="60" t="inlineStr">
        <is>
          <t>Observable outcome when script is correct</t>
        </is>
      </c>
      <c r="C9" s="60" t="inlineStr"/>
    </row>
    <row r="10" ht="22" customHeight="1">
      <c r="A10" s="60" t="inlineStr">
        <is>
          <t>Automated</t>
        </is>
      </c>
      <c r="B10" s="60" t="inlineStr">
        <is>
          <t>Yes = covered by test_suite.sh auto-run</t>
        </is>
      </c>
      <c r="C10" s="60" t="inlineStr">
        <is>
          <t>All currently Yes</t>
        </is>
      </c>
    </row>
    <row r="11" ht="22" customHeight="1">
      <c r="A11" s="60" t="inlineStr">
        <is>
          <t>Actual Result</t>
        </is>
      </c>
      <c r="B11" s="60" t="inlineStr">
        <is>
          <t>What actually happened during execution</t>
        </is>
      </c>
      <c r="C11" s="60" t="inlineStr">
        <is>
          <t>Fill in after run</t>
        </is>
      </c>
    </row>
    <row r="12" ht="22" customHeight="1">
      <c r="A12" s="60" t="inlineStr">
        <is>
          <t>Status</t>
        </is>
      </c>
      <c r="B12" s="60" t="inlineStr">
        <is>
          <t>Pass / Fail / Pending / N/A</t>
        </is>
      </c>
      <c r="C12" s="60" t="inlineStr">
        <is>
          <t>Update after run</t>
        </is>
      </c>
    </row>
    <row r="13" ht="22" customHeight="1">
      <c r="A13" s="60" t="inlineStr">
        <is>
          <t>Tester</t>
        </is>
      </c>
      <c r="B13" s="60" t="inlineStr">
        <is>
          <t>Name of person who ran the test</t>
        </is>
      </c>
      <c r="C13" s="60" t="inlineStr"/>
    </row>
    <row r="14" ht="22" customHeight="1">
      <c r="A14" s="60" t="inlineStr">
        <is>
          <t>Execution Date</t>
        </is>
      </c>
      <c r="B14" s="60" t="inlineStr">
        <is>
          <t>Date test was run (YYYY-MM-DD)</t>
        </is>
      </c>
      <c r="C14" s="60" t="inlineStr"/>
    </row>
    <row r="15" ht="22" customHeight="1">
      <c r="A15" s="60" t="inlineStr">
        <is>
          <t>Notes / Defect ID</t>
        </is>
      </c>
      <c r="B15" s="60" t="inlineStr">
        <is>
          <t>Free text; paste defect tracker ID if Status = Fail</t>
        </is>
      </c>
      <c r="C15" s="60" t="inlineStr"/>
    </row>
    <row r="16" ht="22" customHeight="1">
      <c r="A16" s="60" t="inlineStr"/>
      <c r="B16" s="60" t="inlineStr"/>
      <c r="C16" s="60" t="inlineStr"/>
    </row>
    <row r="17" ht="22" customHeight="1">
      <c r="A17" s="59" t="inlineStr">
        <is>
          <t>Status colours</t>
        </is>
      </c>
      <c r="B17" s="59" t="inlineStr"/>
      <c r="C17" s="59" t="inlineStr"/>
    </row>
    <row r="18" ht="22" customHeight="1">
      <c r="A18" s="61" t="inlineStr">
        <is>
          <t>Pass</t>
        </is>
      </c>
      <c r="B18" s="61" t="inlineStr">
        <is>
          <t>Test executed; expected result observed</t>
        </is>
      </c>
      <c r="C18" s="61" t="inlineStr"/>
    </row>
    <row r="19" ht="22" customHeight="1">
      <c r="A19" s="62" t="inlineStr">
        <is>
          <t>Fail</t>
        </is>
      </c>
      <c r="B19" s="62" t="inlineStr">
        <is>
          <t>Test executed; result does NOT match expected</t>
        </is>
      </c>
      <c r="C19" s="62" t="inlineStr"/>
    </row>
    <row r="20" ht="22" customHeight="1">
      <c r="A20" s="63" t="inlineStr">
        <is>
          <t>Pending</t>
        </is>
      </c>
      <c r="B20" s="63" t="inlineStr">
        <is>
          <t>Not yet executed</t>
        </is>
      </c>
      <c r="C20" s="63" t="inlineStr">
        <is>
          <t>Default</t>
        </is>
      </c>
    </row>
    <row r="21" ht="22" customHeight="1">
      <c r="A21" s="64" t="inlineStr">
        <is>
          <t>N/A</t>
        </is>
      </c>
      <c r="B21" s="64" t="inlineStr">
        <is>
          <t>Not applicable for this build/scope</t>
        </is>
      </c>
      <c r="C21" s="6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2026-02-23T10:52:58Z</dcterms:created>
  <dcterms:modified xmlns:dcterms="http://purl.org/dc/terms/" xmlns:xsi="http://www.w3.org/2001/XMLSchema-instance" xsi:type="dcterms:W3CDTF">2026-02-23T10:52:58Z</dcterms:modified>
</cp:coreProperties>
</file>